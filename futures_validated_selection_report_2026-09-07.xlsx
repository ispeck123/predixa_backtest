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2a0ca886c846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ion" sheetId="1" r:id="R063f6d467d97425b"/>
    <x:sheet xmlns:r="http://schemas.openxmlformats.org/officeDocument/2006/relationships" name="Methodology" sheetId="2" r:id="R86d7c1bb013c48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00"/>
    <x:numFmt numFmtId="202" formatCode="#,##0"/>
    <x:numFmt numFmtId="203" formatCode="₹#,##0.00"/>
    <x:numFmt numFmtId="204" formatCode="₹#,##0.00;[Red](₹#,##0.00);-"/>
    <x:numFmt numFmtId="205" formatCode="₹#,##0;[Red](₹#,##0);-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203" fontId="2" fillId="0" borderId="0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2" fontId="2" fillId="0" borderId="1" xfId="0" applyNumberFormat="1" applyFont="1" applyFill="1" applyBorder="1" applyAlignment="1">
      <x:alignment wrapText="1"/>
    </x:xf>
    <x:xf numFmtId="203" fontId="2" fillId="0" borderId="1" xfId="0" applyNumberFormat="1" applyFont="1" applyFill="1" applyBorder="1" applyAlignment="1">
      <x:alignment wrapText="1"/>
    </x:xf>
    <x:xf numFmtId="204" fontId="3" fillId="0" borderId="0" xfId="0" applyNumberFormat="1" applyFont="1" applyFill="1" applyBorder="1" applyAlignment="1">
      <x:alignment wrapText="1"/>
    </x:xf>
    <x:xf numFmtId="204" fontId="3" fillId="0" borderId="1" xfId="0" applyNumberFormat="1" applyFont="1" applyFill="1" applyBorder="1" applyAlignment="1">
      <x:alignment wrapText="1"/>
    </x:xf>
    <x:xf numFmtId="205" fontId="2" fillId="0" borderId="0" xfId="0" applyNumberFormat="1" applyFont="1" applyFill="1" applyBorder="1" applyAlignment="1">
      <x:alignment wrapText="1"/>
    </x:xf>
    <x:xf numFmtId="205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C6EFCE"/>
        </x:patternFill>
      </x:fill>
    </x:dxf>
    <x:dxf>
      <x:font>
        <x:b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3e29f6b9a4106" /><Relationship Type="http://schemas.openxmlformats.org/officeDocument/2006/relationships/theme" Target="/xl/theme/theme1.xml" Id="Rb7028dff28754d9b" /><Relationship Type="http://schemas.openxmlformats.org/officeDocument/2006/relationships/sharedStrings" Target="/xl/sharedStrings.xml" Id="R72ff176ebb9b42c5" /><Relationship Type="http://schemas.openxmlformats.org/officeDocument/2006/relationships/worksheet" Target="/xl/worksheets/sheet1.xml" Id="R063f6d467d97425b" /><Relationship Type="http://schemas.openxmlformats.org/officeDocument/2006/relationships/worksheet" Target="/xl/worksheets/sheet2.xml" Id="R86d7c1bb013c48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4" hidden="0" customWidth="1"/>
    <x:col min="4" max="4" width="19" hidden="0" customWidth="1"/>
    <x:col min="5" max="5" width="16" hidden="0" customWidth="1"/>
    <x:col min="6" max="6" width="16" hidden="0" customWidth="1"/>
    <x:col min="7" max="7" width="14" hidden="0" customWidth="1"/>
    <x:col min="8" max="8" width="16" hidden="0" customWidth="1"/>
    <x:col min="9" max="9" width="18" hidden="0" customWidth="1"/>
    <x:col min="10" max="10" width="18" hidden="0" customWidth="1"/>
    <x:col min="11" max="11" width="15" hidden="0" customWidth="1"/>
    <x:col min="12" max="12" width="16" hidden="0" customWidth="1"/>
    <x:col min="13" max="13" width="12" hidden="0" customWidth="1"/>
    <x:col min="14" max="14" width="20" hidden="0" customWidth="1"/>
    <x:col min="15" max="15" width="16" hidden="0" customWidth="1"/>
    <x:col min="16" max="16" width="22" hidden="0" customWidth="1"/>
    <x:col min="17" max="17" width="22" hidden="0" customWidth="1"/>
    <x:col min="18" max="18" width="34" hidden="0" customWidth="1"/>
    <x:col min="19" max="19" width="28" hidden="0" customWidth="1"/>
    <x:col min="20" max="20" width="38" hidden="0" customWidth="1"/>
    <x:col min="21" max="21" width="38" hidden="0" customWidth="1"/>
  </x:cols>
  <x:sheetData>
    <x:row r="1" ht="42" customHeight="1">
      <x:c r="A1" s="6" t="str">
        <x:v>symbol</x:v>
      </x:c>
      <x:c r="B1" s="6" t="str">
        <x:v>validated_bt_trades_n</x:v>
      </x:c>
      <x:c r="C1" s="6" t="str">
        <x:v>median_stop_pct</x:v>
      </x:c>
      <x:c r="D1" s="6" t="str">
        <x:v>in_supplied_liquidity_universe</x:v>
      </x:c>
      <x:c r="E1" s="6" t="str">
        <x:v>average_quantity</x:v>
      </x:c>
      <x:c r="F1" s="6" t="str">
        <x:v>liquidity_rank_within_validated_set</x:v>
      </x:c>
      <x:c r="G1" s="6" t="str">
        <x:v>lot_quantity_1lot</x:v>
      </x:c>
      <x:c r="H1" s="6" t="str">
        <x:v>reference_futures_price_inr</x:v>
      </x:c>
      <x:c r="I1" s="6" t="str">
        <x:v>one_lot_notional_inr</x:v>
      </x:c>
      <x:c r="J1" s="6" t="str">
        <x:v>ranking_per_lot_risk_inr</x:v>
      </x:c>
      <x:c r="K1" s="6" t="str">
        <x:v>liquidity_floor_pass</x:v>
      </x:c>
      <x:c r="L1" s="6" t="str">
        <x:v>per_lot_risk_rank_after_liquidity_floor</x:v>
      </x:c>
      <x:c r="M1" s="6" t="str">
        <x:v>selected_final_8</x:v>
      </x:c>
      <x:c r="N1" s="6" t="str">
        <x:v>reference_capital_required_1lot_nrml_margin_inr</x:v>
      </x:c>
      <x:c r="O1" s="6" t="str">
        <x:v>reference_contract_expiry</x:v>
      </x:c>
      <x:c r="P1" s="6" t="str">
        <x:v>fyers_expected_symbol</x:v>
      </x:c>
      <x:c r="Q1" s="6" t="str">
        <x:v>fyers_resolution_status</x:v>
      </x:c>
      <x:c r="R1" s="6" t="str">
        <x:v>selection_note</x:v>
      </x:c>
      <x:c r="S1" s="6" t="str">
        <x:v>price_source</x:v>
      </x:c>
      <x:c r="T1" s="6" t="str">
        <x:v>price_source_url</x:v>
      </x:c>
      <x:c r="U1" s="6" t="str">
        <x:v>current_contract_check_url</x:v>
      </x:c>
    </x:row>
    <x:row r="2">
      <x:c r="A2" s="12" t="str">
        <x:v>ITC</x:v>
      </x:c>
      <x:c r="B2" s="26" t="n">
        <x:v>194</x:v>
      </x:c>
      <x:c r="C2" s="27" t="n">
        <x:v>1.267</x:v>
      </x:c>
      <x:c r="D2" s="28" t="str">
        <x:v>YES</x:v>
      </x:c>
      <x:c r="E2" s="29" t="n">
        <x:v>15075825</x:v>
      </x:c>
      <x:c r="F2" s="26" t="n">
        <x:v>13</x:v>
      </x:c>
      <x:c r="G2" s="26" t="n">
        <x:v>1725</x:v>
      </x:c>
      <x:c r="H2" s="30" t="n">
        <x:v>265.45</x:v>
      </x:c>
      <x:c r="I2" s="36" t="n">
        <x:f>G2*H2</x:f>
        <x:v>457901.25</x:v>
      </x:c>
      <x:c r="J2" s="36" t="n">
        <x:f>I2*C2/100</x:f>
        <x:v>5801.608837499999</x:v>
      </x:c>
      <x:c r="K2" s="28" t="str">
        <x:v>PASS</x:v>
      </x:c>
      <x:c r="L2" s="26" t="n">
        <x:v>1</x:v>
      </x:c>
      <x:c r="M2" s="28" t="str">
        <x:v>YES</x:v>
      </x:c>
      <x:c r="N2" s="38" t="n">
        <x:v>81110</x:v>
      </x:c>
      <x:c r="O2" s="28" t="str">
        <x:v>2026-09-29</x:v>
      </x:c>
      <x:c r="P2" s="28" t="str">
        <x:v>NSE:ITC26SEPFUT</x:v>
      </x:c>
      <x:c r="Q2" s="28" t="str">
        <x:v>LIVE_MASTER_CHECK_REQUIRED</x:v>
      </x:c>
      <x:c r="R2" s="28" t="str">
        <x:v>SELECT: lowest per-lot ranking risk after supplied-liquidity-universe floor</x:v>
      </x:c>
      <x:c r="S2" s="28" t="str">
        <x:v>Zerodha Futures Margin Calculator</x:v>
      </x:c>
      <x:c r="T2" s="28" t="str">
        <x:v>https://zerodha.com/margin-calculator/Futures/</x:v>
      </x:c>
      <x:c r="U2" s="28" t="str">
        <x:v>https://hdfcsky.com/futures/itc-ltd</x:v>
      </x:c>
    </x:row>
    <x:row r="3">
      <x:c r="A3" s="12" t="str">
        <x:v>HDFCBANK</x:v>
      </x:c>
      <x:c r="B3" s="26" t="n">
        <x:v>314</x:v>
      </x:c>
      <x:c r="C3" s="27" t="n">
        <x:v>1.266</x:v>
      </x:c>
      <x:c r="D3" s="28" t="str">
        <x:v>YES</x:v>
      </x:c>
      <x:c r="E3" s="29" t="n">
        <x:v>31469665.22</x:v>
      </x:c>
      <x:c r="F3" s="26" t="n">
        <x:v>2</x:v>
      </x:c>
      <x:c r="G3" s="26" t="n">
        <x:v>650</x:v>
      </x:c>
      <x:c r="H3" s="30" t="n">
        <x:v>718.7</x:v>
      </x:c>
      <x:c r="I3" s="36" t="n">
        <x:f>G3*H3</x:f>
        <x:v>467155.00000000006</x:v>
      </x:c>
      <x:c r="J3" s="36" t="n">
        <x:f>I3*C3/100</x:f>
        <x:v>5914.182300000001</x:v>
      </x:c>
      <x:c r="K3" s="28" t="str">
        <x:v>PASS</x:v>
      </x:c>
      <x:c r="L3" s="26" t="n">
        <x:v>2</x:v>
      </x:c>
      <x:c r="M3" s="28" t="str">
        <x:v>YES</x:v>
      </x:c>
      <x:c r="N3" s="38" t="n">
        <x:v>82487</x:v>
      </x:c>
      <x:c r="O3" s="28" t="str">
        <x:v>2026-09-29</x:v>
      </x:c>
      <x:c r="P3" s="28" t="str">
        <x:v>NSE:HDFCBANK26SEPFUT</x:v>
      </x:c>
      <x:c r="Q3" s="28" t="str">
        <x:v>LIVE_MASTER_CHECK_REQUIRED</x:v>
      </x:c>
      <x:c r="R3" s="28" t="str">
        <x:v>SELECT: lowest per-lot ranking risk after supplied-liquidity-universe floor</x:v>
      </x:c>
      <x:c r="S3" s="28" t="str">
        <x:v>Zerodha Futures Margin Calculator</x:v>
      </x:c>
      <x:c r="T3" s="28" t="str">
        <x:v>https://zerodha.com/margin-calculator/Futures/</x:v>
      </x:c>
      <x:c r="U3" s="28" t="str">
        <x:v>https://hdfcsky.com/futures/hdfc-bank-ltd</x:v>
      </x:c>
    </x:row>
    <x:row r="4">
      <x:c r="A4" s="12" t="str">
        <x:v>INFY</x:v>
      </x:c>
      <x:c r="B4" s="26" t="n">
        <x:v>354</x:v>
      </x:c>
      <x:c r="C4" s="27" t="n">
        <x:v>1.373</x:v>
      </x:c>
      <x:c r="D4" s="28" t="str">
        <x:v>YES</x:v>
      </x:c>
      <x:c r="E4" s="29" t="n">
        <x:v>9788313.04</x:v>
      </x:c>
      <x:c r="F4" s="26" t="n">
        <x:v>22</x:v>
      </x:c>
      <x:c r="G4" s="26" t="n">
        <x:v>400</x:v>
      </x:c>
      <x:c r="H4" s="30" t="n">
        <x:v>1138.1</x:v>
      </x:c>
      <x:c r="I4" s="36" t="n">
        <x:f>G4*H4</x:f>
        <x:v>455239.99999999994</x:v>
      </x:c>
      <x:c r="J4" s="36" t="n">
        <x:f>I4*C4/100</x:f>
        <x:v>6250.445199999999</x:v>
      </x:c>
      <x:c r="K4" s="28" t="str">
        <x:v>PASS</x:v>
      </x:c>
      <x:c r="L4" s="26" t="n">
        <x:v>3</x:v>
      </x:c>
      <x:c r="M4" s="28" t="str">
        <x:v>YES</x:v>
      </x:c>
      <x:c r="N4" s="38" t="n">
        <x:v>87317</x:v>
      </x:c>
      <x:c r="O4" s="28" t="str">
        <x:v>2026-09-29</x:v>
      </x:c>
      <x:c r="P4" s="28" t="str">
        <x:v>NSE:INFY26SEPFUT</x:v>
      </x:c>
      <x:c r="Q4" s="28" t="str">
        <x:v>LIVE_MASTER_CHECK_REQUIRED</x:v>
      </x:c>
      <x:c r="R4" s="28" t="str">
        <x:v>SELECT: lowest per-lot ranking risk after supplied-liquidity-universe floor</x:v>
      </x:c>
      <x:c r="S4" s="28" t="str">
        <x:v>Zerodha Futures Margin Calculator</x:v>
      </x:c>
      <x:c r="T4" s="28" t="str">
        <x:v>https://zerodha.com/margin-calculator/Futures/</x:v>
      </x:c>
      <x:c r="U4" s="28" t="str">
        <x:v>https://www.kotakneo.com/futures-and-options/stocks-futures/infosys-futures/</x:v>
      </x:c>
    </x:row>
    <x:row r="5">
      <x:c r="A5" s="12" t="str">
        <x:v>NTPC</x:v>
      </x:c>
      <x:c r="B5" s="26" t="n">
        <x:v>286</x:v>
      </x:c>
      <x:c r="C5" s="27" t="n">
        <x:v>1.409</x:v>
      </x:c>
      <x:c r="D5" s="28" t="str">
        <x:v>YES</x:v>
      </x:c>
      <x:c r="E5" s="29" t="n">
        <x:v>10247217.39</x:v>
      </x:c>
      <x:c r="F5" s="26" t="n">
        <x:v>21</x:v>
      </x:c>
      <x:c r="G5" s="26" t="n">
        <x:v>1500</x:v>
      </x:c>
      <x:c r="H5" s="30" t="n">
        <x:v>334</x:v>
      </x:c>
      <x:c r="I5" s="36" t="n">
        <x:f>G5*H5</x:f>
        <x:v>501000</x:v>
      </x:c>
      <x:c r="J5" s="36" t="n">
        <x:f>I5*C5/100</x:f>
        <x:v>7059.09</x:v>
      </x:c>
      <x:c r="K5" s="28" t="str">
        <x:v>PASS</x:v>
      </x:c>
      <x:c r="L5" s="26" t="n">
        <x:v>4</x:v>
      </x:c>
      <x:c r="M5" s="28" t="str">
        <x:v>YES</x:v>
      </x:c>
      <x:c r="N5" s="38" t="n">
        <x:v>88800</x:v>
      </x:c>
      <x:c r="O5" s="28" t="str">
        <x:v>2026-09-29</x:v>
      </x:c>
      <x:c r="P5" s="28" t="str">
        <x:v>NSE:NTPC26SEPFUT</x:v>
      </x:c>
      <x:c r="Q5" s="28" t="str">
        <x:v>LIVE_MASTER_CHECK_REQUIRED</x:v>
      </x:c>
      <x:c r="R5" s="28" t="str">
        <x:v>SELECT: lowest per-lot ranking risk after supplied-liquidity-universe floor</x:v>
      </x:c>
      <x:c r="S5" s="28" t="str">
        <x:v>Zerodha Futures Margin Calculator</x:v>
      </x:c>
      <x:c r="T5" s="28" t="str">
        <x:v>https://zerodha.com/margin-calculator/Futures/</x:v>
      </x:c>
      <x:c r="U5" s="28" t="str">
        <x:v>https://hdfcsky.com/futures/ntpc-ltd</x:v>
      </x:c>
    </x:row>
    <x:row r="6">
      <x:c r="A6" s="12" t="str">
        <x:v>TATASTEEL</x:v>
      </x:c>
      <x:c r="B6" s="26" t="n">
        <x:v>350</x:v>
      </x:c>
      <x:c r="C6" s="27" t="n">
        <x:v>1.378</x:v>
      </x:c>
      <x:c r="D6" s="28" t="str">
        <x:v>YES</x:v>
      </x:c>
      <x:c r="E6" s="29" t="n">
        <x:v>25910500</x:v>
      </x:c>
      <x:c r="F6" s="26" t="n">
        <x:v>5</x:v>
      </x:c>
      <x:c r="G6" s="26" t="n">
        <x:v>2750</x:v>
      </x:c>
      <x:c r="H6" s="30" t="n">
        <x:v>190.52</x:v>
      </x:c>
      <x:c r="I6" s="36" t="n">
        <x:f>G6*H6</x:f>
        <x:v>523930</x:v>
      </x:c>
      <x:c r="J6" s="36" t="n">
        <x:f>I6*C6/100</x:f>
        <x:v>7219.755399999999</x:v>
      </x:c>
      <x:c r="K6" s="28" t="str">
        <x:v>PASS</x:v>
      </x:c>
      <x:c r="L6" s="26" t="n">
        <x:v>5</x:v>
      </x:c>
      <x:c r="M6" s="28" t="str">
        <x:v>YES</x:v>
      </x:c>
      <x:c r="N6" s="38" t="n">
        <x:v>93055</x:v>
      </x:c>
      <x:c r="O6" s="28" t="str">
        <x:v>2026-09-29</x:v>
      </x:c>
      <x:c r="P6" s="28" t="str">
        <x:v>NSE:TATASTEEL26SEPFUT</x:v>
      </x:c>
      <x:c r="Q6" s="28" t="str">
        <x:v>LIVE_MASTER_CHECK_REQUIRED</x:v>
      </x:c>
      <x:c r="R6" s="28" t="str">
        <x:v>SELECT: lowest per-lot ranking risk after supplied-liquidity-universe floor</x:v>
      </x:c>
      <x:c r="S6" s="28" t="str">
        <x:v>Zerodha Futures Margin Calculator</x:v>
      </x:c>
      <x:c r="T6" s="28" t="str">
        <x:v>https://zerodha.com/margin-calculator/Futures/</x:v>
      </x:c>
      <x:c r="U6" s="28" t="str">
        <x:v>https://www.5paisa.com/derivatives/tatasteel-futures</x:v>
      </x:c>
    </x:row>
    <x:row r="7">
      <x:c r="A7" s="12" t="str">
        <x:v>ONGC</x:v>
      </x:c>
      <x:c r="B7" s="26" t="n">
        <x:v>276</x:v>
      </x:c>
      <x:c r="C7" s="27" t="n">
        <x:v>1.4</x:v>
      </x:c>
      <x:c r="D7" s="28" t="str">
        <x:v>YES</x:v>
      </x:c>
      <x:c r="E7" s="29" t="n">
        <x:v>8784684.78</x:v>
      </x:c>
      <x:c r="F7" s="26" t="n">
        <x:v>25</x:v>
      </x:c>
      <x:c r="G7" s="26" t="n">
        <x:v>2250</x:v>
      </x:c>
      <x:c r="H7" s="30" t="n">
        <x:v>235.13</x:v>
      </x:c>
      <x:c r="I7" s="36" t="n">
        <x:f>G7*H7</x:f>
        <x:v>529042.5</x:v>
      </x:c>
      <x:c r="J7" s="36" t="n">
        <x:f>I7*C7/100</x:f>
        <x:v>7406.595</x:v>
      </x:c>
      <x:c r="K7" s="28" t="str">
        <x:v>PASS</x:v>
      </x:c>
      <x:c r="L7" s="26" t="n">
        <x:v>6</x:v>
      </x:c>
      <x:c r="M7" s="28" t="str">
        <x:v>YES</x:v>
      </x:c>
      <x:c r="N7" s="38" t="n">
        <x:v>93958</x:v>
      </x:c>
      <x:c r="O7" s="28" t="str">
        <x:v>2026-09-29</x:v>
      </x:c>
      <x:c r="P7" s="28" t="str">
        <x:v>NSE:ONGC26SEPFUT</x:v>
      </x:c>
      <x:c r="Q7" s="28" t="str">
        <x:v>LIVE_MASTER_CHECK_REQUIRED</x:v>
      </x:c>
      <x:c r="R7" s="28" t="str">
        <x:v>SELECT: lowest per-lot ranking risk after supplied-liquidity-universe floor</x:v>
      </x:c>
      <x:c r="S7" s="28" t="str">
        <x:v>Zerodha Futures Margin Calculator</x:v>
      </x:c>
      <x:c r="T7" s="28" t="str">
        <x:v>https://zerodha.com/margin-calculator/Futures/</x:v>
      </x:c>
      <x:c r="U7" s="28" t="str">
        <x:v>https://hdfcsky.com/futures/oil-and-natural-gas-corporation-ltd</x:v>
      </x:c>
    </x:row>
    <x:row r="8">
      <x:c r="A8" s="12" t="str">
        <x:v>WIPRO</x:v>
      </x:c>
      <x:c r="B8" s="26" t="n">
        <x:v>313</x:v>
      </x:c>
      <x:c r="C8" s="27" t="n">
        <x:v>1.416</x:v>
      </x:c>
      <x:c r="D8" s="28" t="str">
        <x:v>YES</x:v>
      </x:c>
      <x:c r="E8" s="29" t="n">
        <x:v>21903652.17</x:v>
      </x:c>
      <x:c r="F8" s="26" t="n">
        <x:v>9</x:v>
      </x:c>
      <x:c r="G8" s="26" t="n">
        <x:v>3000</x:v>
      </x:c>
      <x:c r="H8" s="30" t="n">
        <x:v>177.56</x:v>
      </x:c>
      <x:c r="I8" s="36" t="n">
        <x:f>G8*H8</x:f>
        <x:v>532680</x:v>
      </x:c>
      <x:c r="J8" s="36" t="n">
        <x:f>I8*C8/100</x:f>
        <x:v>7542.7488</x:v>
      </x:c>
      <x:c r="K8" s="28" t="str">
        <x:v>PASS</x:v>
      </x:c>
      <x:c r="L8" s="26" t="n">
        <x:v>7</x:v>
      </x:c>
      <x:c r="M8" s="28" t="str">
        <x:v>YES</x:v>
      </x:c>
      <x:c r="N8" s="38" t="n">
        <x:v>94273</x:v>
      </x:c>
      <x:c r="O8" s="28" t="str">
        <x:v>2026-09-29</x:v>
      </x:c>
      <x:c r="P8" s="28" t="str">
        <x:v>NSE:WIPRO26SEPFUT</x:v>
      </x:c>
      <x:c r="Q8" s="28" t="str">
        <x:v>LIVE_MASTER_CHECK_REQUIRED</x:v>
      </x:c>
      <x:c r="R8" s="28" t="str">
        <x:v>SELECT: lowest per-lot ranking risk after supplied-liquidity-universe floor</x:v>
      </x:c>
      <x:c r="S8" s="28" t="str">
        <x:v>Zerodha Futures Margin Calculator</x:v>
      </x:c>
      <x:c r="T8" s="28" t="str">
        <x:v>https://zerodha.com/margin-calculator/Futures/</x:v>
      </x:c>
      <x:c r="U8" s="28" t="str">
        <x:v>https://hdfcsky.com/futures/wipro-ltd</x:v>
      </x:c>
    </x:row>
    <x:row r="9">
      <x:c r="A9" s="12" t="str">
        <x:v>BEL</x:v>
      </x:c>
      <x:c r="B9" s="26" t="n">
        <x:v>315</x:v>
      </x:c>
      <x:c r="C9" s="27" t="n">
        <x:v>1.396</x:v>
      </x:c>
      <x:c r="D9" s="28" t="str">
        <x:v>YES</x:v>
      </x:c>
      <x:c r="E9" s="29" t="n">
        <x:v>11267227.17</x:v>
      </x:c>
      <x:c r="F9" s="26" t="n">
        <x:v>19</x:v>
      </x:c>
      <x:c r="G9" s="26" t="n">
        <x:v>1425</x:v>
      </x:c>
      <x:c r="H9" s="30" t="n">
        <x:v>409</x:v>
      </x:c>
      <x:c r="I9" s="36" t="n">
        <x:f>G9*H9</x:f>
        <x:v>582825</x:v>
      </x:c>
      <x:c r="J9" s="36" t="n">
        <x:f>I9*C9/100</x:f>
        <x:v>8136.236999999999</x:v>
      </x:c>
      <x:c r="K9" s="28" t="str">
        <x:v>PASS</x:v>
      </x:c>
      <x:c r="L9" s="26" t="n">
        <x:v>8</x:v>
      </x:c>
      <x:c r="M9" s="28" t="str">
        <x:v>YES</x:v>
      </x:c>
      <x:c r="N9" s="38" t="n">
        <x:v>104844</x:v>
      </x:c>
      <x:c r="O9" s="28" t="str">
        <x:v>2026-09-29</x:v>
      </x:c>
      <x:c r="P9" s="28" t="str">
        <x:v>NSE:BEL26SEPFUT</x:v>
      </x:c>
      <x:c r="Q9" s="28" t="str">
        <x:v>LIVE_MASTER_CHECK_REQUIRED</x:v>
      </x:c>
      <x:c r="R9" s="28" t="str">
        <x:v>SELECT: lowest per-lot ranking risk after supplied-liquidity-universe floor</x:v>
      </x:c>
      <x:c r="S9" s="28" t="str">
        <x:v>Zerodha Futures Margin Calculator</x:v>
      </x:c>
      <x:c r="T9" s="28" t="str">
        <x:v>https://zerodha.com/margin-calculator/Futures/</x:v>
      </x:c>
      <x:c r="U9" s="28" t="str">
        <x:v>https://www.kotakneo.com/futures-and-options/stocks-futures/bharat-electronics-futures/?expiry=SEP</x:v>
      </x:c>
    </x:row>
    <x:row r="10">
      <x:c r="A10" s="12" t="str">
        <x:v>JIOFIN</x:v>
      </x:c>
      <x:c r="B10" s="26" t="n">
        <x:v>270</x:v>
      </x:c>
      <x:c r="C10" s="27" t="n">
        <x:v>1.464</x:v>
      </x:c>
      <x:c r="D10" s="28" t="str">
        <x:v>YES</x:v>
      </x:c>
      <x:c r="E10" s="29" t="n">
        <x:v>24515710.87</x:v>
      </x:c>
      <x:c r="F10" s="26" t="n">
        <x:v>7</x:v>
      </x:c>
      <x:c r="G10" s="26" t="n">
        <x:v>2350</x:v>
      </x:c>
      <x:c r="H10" s="30" t="n">
        <x:v>240.35</x:v>
      </x:c>
      <x:c r="I10" s="36" t="n">
        <x:f>G10*H10</x:f>
        <x:v>564822.5</x:v>
      </x:c>
      <x:c r="J10" s="36" t="n">
        <x:f>I10*C10/100</x:f>
        <x:v>8269.001400000001</x:v>
      </x:c>
      <x:c r="K10" s="28" t="str">
        <x:v>PASS</x:v>
      </x:c>
      <x:c r="L10" s="26" t="n">
        <x:v>9</x:v>
      </x:c>
      <x:c r="M10" s="28" t="str">
        <x:v>NO</x:v>
      </x:c>
      <x:c r="N10" s="38" t="n">
        <x:v>111019</x:v>
      </x:c>
      <x:c r="O10" s="28" t="str">
        <x:v>2026-09-29</x:v>
      </x:c>
      <x:c r="P10" s="28" t="str">
        <x:v>NSE:JIOFIN26SEPFUT</x:v>
      </x:c>
      <x:c r="Q10" s="28" t="str">
        <x:v>LIVE_MASTER_CHECK_REQUIRED</x:v>
      </x:c>
      <x:c r="R10" s="28" t="str">
        <x:v>NOT IN LOWEST 8 ranking risk</x:v>
      </x:c>
      <x:c r="S10" s="28" t="str">
        <x:v>Zerodha Futures Margin Calculator</x:v>
      </x:c>
      <x:c r="T10" s="28" t="str">
        <x:v>https://zerodha.com/margin-calculator/Futures/</x:v>
      </x:c>
      <x:c r="U10" s="28" t="str">
        <x:v>https://www.5paisa.com/derivatives/jiofin-futures</x:v>
      </x:c>
    </x:row>
    <x:row r="11">
      <x:c r="A11" s="12" t="str">
        <x:v>RELIANCE</x:v>
      </x:c>
      <x:c r="B11" s="26" t="n">
        <x:v>362</x:v>
      </x:c>
      <x:c r="C11" s="27" t="n">
        <x:v>1.315</x:v>
      </x:c>
      <x:c r="D11" s="28" t="str">
        <x:v>YES</x:v>
      </x:c>
      <x:c r="E11" s="29" t="n">
        <x:v>14005391.3</x:v>
      </x:c>
      <x:c r="F11" s="26" t="n">
        <x:v>14</x:v>
      </x:c>
      <x:c r="G11" s="26" t="n">
        <x:v>500</x:v>
      </x:c>
      <x:c r="H11" s="30" t="n">
        <x:v>1335.6</x:v>
      </x:c>
      <x:c r="I11" s="36" t="n">
        <x:f>G11*H11</x:f>
        <x:v>667800</x:v>
      </x:c>
      <x:c r="J11" s="36" t="n">
        <x:f>I11*C11/100</x:f>
        <x:v>8781.57</x:v>
      </x:c>
      <x:c r="K11" s="28" t="str">
        <x:v>PASS</x:v>
      </x:c>
      <x:c r="L11" s="26" t="n">
        <x:v>10</x:v>
      </x:c>
      <x:c r="M11" s="28" t="str">
        <x:v>NO</x:v>
      </x:c>
      <x:c r="N11" s="38" t="n">
        <x:v>117818</x:v>
      </x:c>
      <x:c r="O11" s="28" t="str">
        <x:v>2026-09-29</x:v>
      </x:c>
      <x:c r="P11" s="28" t="str">
        <x:v>NSE:RELIANCE26SEPFUT</x:v>
      </x:c>
      <x:c r="Q11" s="28" t="str">
        <x:v>LIVE_MASTER_CHECK_REQUIRED</x:v>
      </x:c>
      <x:c r="R11" s="28" t="str">
        <x:v>NOT IN LOWEST 8 ranking risk</x:v>
      </x:c>
      <x:c r="S11" s="28" t="str">
        <x:v>Zerodha Futures Margin Calculator</x:v>
      </x:c>
      <x:c r="T11" s="28" t="str">
        <x:v>https://zerodha.com/margin-calculator/Futures/</x:v>
      </x:c>
      <x:c r="U11" s="28" t="str"/>
    </x:row>
    <x:row r="12">
      <x:c r="A12" s="12" t="str">
        <x:v>BANDHANBNK</x:v>
      </x:c>
      <x:c r="B12" s="26" t="n">
        <x:v>264</x:v>
      </x:c>
      <x:c r="C12" s="27" t="n">
        <x:v>1.548</x:v>
      </x:c>
      <x:c r="D12" s="28" t="str">
        <x:v>YES</x:v>
      </x:c>
      <x:c r="E12" s="29" t="n">
        <x:v>11530173.91</x:v>
      </x:c>
      <x:c r="F12" s="26" t="n">
        <x:v>18</x:v>
      </x:c>
      <x:c r="G12" s="26" t="n">
        <x:v>3600</x:v>
      </x:c>
      <x:c r="H12" s="30" t="n">
        <x:v>165.2</x:v>
      </x:c>
      <x:c r="I12" s="36" t="n">
        <x:f>G12*H12</x:f>
        <x:v>594720</x:v>
      </x:c>
      <x:c r="J12" s="36" t="n">
        <x:f>I12*C12/100</x:f>
        <x:v>9206.2656</x:v>
      </x:c>
      <x:c r="K12" s="28" t="str">
        <x:v>PASS</x:v>
      </x:c>
      <x:c r="L12" s="26" t="n">
        <x:v>11</x:v>
      </x:c>
      <x:c r="M12" s="28" t="str">
        <x:v>NO</x:v>
      </x:c>
      <x:c r="N12" s="38" t="n">
        <x:v>242467</x:v>
      </x:c>
      <x:c r="O12" s="28" t="str">
        <x:v>2026-09-29</x:v>
      </x:c>
      <x:c r="P12" s="28" t="str">
        <x:v>NSE:BANDHANBNK26SEPFUT</x:v>
      </x:c>
      <x:c r="Q12" s="28" t="str">
        <x:v>LIVE_MASTER_CHECK_REQUIRED</x:v>
      </x:c>
      <x:c r="R12" s="28" t="str">
        <x:v>NOT IN LOWEST 8 ranking risk</x:v>
      </x:c>
      <x:c r="S12" s="28" t="str">
        <x:v>Zerodha Futures Margin Calculator</x:v>
      </x:c>
      <x:c r="T12" s="28" t="str">
        <x:v>https://zerodha.com/margin-calculator/Futures/</x:v>
      </x:c>
      <x:c r="U12" s="28" t="str"/>
    </x:row>
    <x:row r="13">
      <x:c r="A13" s="12" t="str">
        <x:v>IOC</x:v>
      </x:c>
      <x:c r="B13" s="26" t="n">
        <x:v>284</x:v>
      </x:c>
      <x:c r="C13" s="27" t="n">
        <x:v>1.418</x:v>
      </x:c>
      <x:c r="D13" s="28" t="str">
        <x:v>YES</x:v>
      </x:c>
      <x:c r="E13" s="29" t="n">
        <x:v>13200864.13</x:v>
      </x:c>
      <x:c r="F13" s="26" t="n">
        <x:v>16</x:v>
      </x:c>
      <x:c r="G13" s="26" t="n">
        <x:v>4875</x:v>
      </x:c>
      <x:c r="H13" s="30" t="n">
        <x:v>138.09</x:v>
      </x:c>
      <x:c r="I13" s="36" t="n">
        <x:f>G13*H13</x:f>
        <x:v>673188.75</x:v>
      </x:c>
      <x:c r="J13" s="36" t="n">
        <x:f>I13*C13/100</x:f>
        <x:v>9545.816475</x:v>
      </x:c>
      <x:c r="K13" s="28" t="str">
        <x:v>PASS</x:v>
      </x:c>
      <x:c r="L13" s="26" t="n">
        <x:v>12</x:v>
      </x:c>
      <x:c r="M13" s="28" t="str">
        <x:v>NO</x:v>
      </x:c>
      <x:c r="N13" s="38" t="n">
        <x:v>120184</x:v>
      </x:c>
      <x:c r="O13" s="28" t="str">
        <x:v>2026-09-29</x:v>
      </x:c>
      <x:c r="P13" s="28" t="str">
        <x:v>NSE:IOC26SEPFUT</x:v>
      </x:c>
      <x:c r="Q13" s="28" t="str">
        <x:v>LIVE_MASTER_CHECK_REQUIRED</x:v>
      </x:c>
      <x:c r="R13" s="28" t="str">
        <x:v>NOT IN LOWEST 8 ranking risk</x:v>
      </x:c>
      <x:c r="S13" s="28" t="str">
        <x:v>Zerodha Futures Margin Calculator</x:v>
      </x:c>
      <x:c r="T13" s="28" t="str">
        <x:v>https://zerodha.com/margin-calculator/Futures/</x:v>
      </x:c>
      <x:c r="U13" s="28" t="str"/>
    </x:row>
    <x:row r="14">
      <x:c r="A14" s="12" t="str">
        <x:v>BANKINDIA</x:v>
      </x:c>
      <x:c r="B14" s="26" t="n">
        <x:v>188</x:v>
      </x:c>
      <x:c r="C14" s="27" t="n">
        <x:v>1.305</x:v>
      </x:c>
      <x:c r="D14" s="28" t="str">
        <x:v>YES</x:v>
      </x:c>
      <x:c r="E14" s="29" t="n">
        <x:v>11133200</x:v>
      </x:c>
      <x:c r="F14" s="26" t="n">
        <x:v>20</x:v>
      </x:c>
      <x:c r="G14" s="26" t="n">
        <x:v>5200</x:v>
      </x:c>
      <x:c r="H14" s="30" t="n">
        <x:v>145.34</x:v>
      </x:c>
      <x:c r="I14" s="36" t="n">
        <x:f>G14*H14</x:f>
        <x:v>755768</x:v>
      </x:c>
      <x:c r="J14" s="36" t="n">
        <x:f>I14*C14/100</x:f>
        <x:v>9862.7724</x:v>
      </x:c>
      <x:c r="K14" s="28" t="str">
        <x:v>PASS</x:v>
      </x:c>
      <x:c r="L14" s="26" t="n">
        <x:v>13</x:v>
      </x:c>
      <x:c r="M14" s="28" t="str">
        <x:v>NO</x:v>
      </x:c>
      <x:c r="N14" s="38" t="n">
        <x:v>160351</x:v>
      </x:c>
      <x:c r="O14" s="28" t="str">
        <x:v>2026-09-29</x:v>
      </x:c>
      <x:c r="P14" s="28" t="str">
        <x:v>NSE:BANKINDIA26SEPFUT</x:v>
      </x:c>
      <x:c r="Q14" s="28" t="str">
        <x:v>LIVE_MASTER_CHECK_REQUIRED</x:v>
      </x:c>
      <x:c r="R14" s="28" t="str">
        <x:v>NOT IN LOWEST 8 ranking risk</x:v>
      </x:c>
      <x:c r="S14" s="28" t="str">
        <x:v>Zerodha Futures Margin Calculator</x:v>
      </x:c>
      <x:c r="T14" s="28" t="str">
        <x:v>https://zerodha.com/margin-calculator/Futures/</x:v>
      </x:c>
      <x:c r="U14" s="28" t="str"/>
    </x:row>
    <x:row r="15">
      <x:c r="A15" s="12" t="str">
        <x:v>BANKBARODA</x:v>
      </x:c>
      <x:c r="B15" s="26" t="n">
        <x:v>330</x:v>
      </x:c>
      <x:c r="C15" s="27" t="n">
        <x:v>1.433</x:v>
      </x:c>
      <x:c r="D15" s="28" t="str">
        <x:v>YES</x:v>
      </x:c>
      <x:c r="E15" s="29" t="n">
        <x:v>13763142.39</x:v>
      </x:c>
      <x:c r="F15" s="26" t="n">
        <x:v>15</x:v>
      </x:c>
      <x:c r="G15" s="26" t="n">
        <x:v>2925</x:v>
      </x:c>
      <x:c r="H15" s="30" t="n">
        <x:v>240.74</x:v>
      </x:c>
      <x:c r="I15" s="36" t="n">
        <x:f>G15*H15</x:f>
        <x:v>704164.5</x:v>
      </x:c>
      <x:c r="J15" s="36" t="n">
        <x:f>I15*C15/100</x:f>
        <x:v>10090.677285000002</x:v>
      </x:c>
      <x:c r="K15" s="28" t="str">
        <x:v>PASS</x:v>
      </x:c>
      <x:c r="L15" s="26" t="n">
        <x:v>14</x:v>
      </x:c>
      <x:c r="M15" s="28" t="str">
        <x:v>NO</x:v>
      </x:c>
      <x:c r="N15" s="38" t="n">
        <x:v>132344</x:v>
      </x:c>
      <x:c r="O15" s="28" t="str">
        <x:v>2026-09-29</x:v>
      </x:c>
      <x:c r="P15" s="28" t="str">
        <x:v>NSE:BANKBARODA26SEPFUT</x:v>
      </x:c>
      <x:c r="Q15" s="28" t="str">
        <x:v>LIVE_MASTER_CHECK_REQUIRED</x:v>
      </x:c>
      <x:c r="R15" s="28" t="str">
        <x:v>NOT IN LOWEST 8 ranking risk</x:v>
      </x:c>
      <x:c r="S15" s="28" t="str">
        <x:v>Zerodha Futures Margin Calculator</x:v>
      </x:c>
      <x:c r="T15" s="28" t="str">
        <x:v>https://zerodha.com/margin-calculator/Futures/</x:v>
      </x:c>
      <x:c r="U15" s="28" t="str"/>
    </x:row>
    <x:row r="16">
      <x:c r="A16" s="12" t="str">
        <x:v>KOTAKBANK</x:v>
      </x:c>
      <x:c r="B16" s="26" t="n">
        <x:v>260</x:v>
      </x:c>
      <x:c r="C16" s="27" t="n">
        <x:v>1.269</x:v>
      </x:c>
      <x:c r="D16" s="28" t="str">
        <x:v>YES</x:v>
      </x:c>
      <x:c r="E16" s="29" t="n">
        <x:v>16315739.13</x:v>
      </x:c>
      <x:c r="F16" s="26" t="n">
        <x:v>11</x:v>
      </x:c>
      <x:c r="G16" s="26" t="n">
        <x:v>2000</x:v>
      </x:c>
      <x:c r="H16" s="30" t="n">
        <x:v>427.1</x:v>
      </x:c>
      <x:c r="I16" s="36" t="n">
        <x:f>G16*H16</x:f>
        <x:v>854200</x:v>
      </x:c>
      <x:c r="J16" s="36" t="n">
        <x:f>I16*C16/100</x:f>
        <x:v>10839.797999999999</x:v>
      </x:c>
      <x:c r="K16" s="28" t="str">
        <x:v>PASS</x:v>
      </x:c>
      <x:c r="L16" s="26" t="n">
        <x:v>15</x:v>
      </x:c>
      <x:c r="M16" s="28" t="str">
        <x:v>NO</x:v>
      </x:c>
      <x:c r="N16" s="38" t="n">
        <x:v>151197</x:v>
      </x:c>
      <x:c r="O16" s="28" t="str">
        <x:v>2026-09-29</x:v>
      </x:c>
      <x:c r="P16" s="28" t="str">
        <x:v>NSE:KOTAKBANK26SEPFUT</x:v>
      </x:c>
      <x:c r="Q16" s="28" t="str">
        <x:v>LIVE_MASTER_CHECK_REQUIRED</x:v>
      </x:c>
      <x:c r="R16" s="28" t="str">
        <x:v>NOT IN LOWEST 8 ranking risk</x:v>
      </x:c>
      <x:c r="S16" s="28" t="str">
        <x:v>Zerodha Futures Margin Calculator</x:v>
      </x:c>
      <x:c r="T16" s="28" t="str">
        <x:v>https://zerodha.com/margin-calculator/Futures/</x:v>
      </x:c>
      <x:c r="U16" s="28" t="str"/>
    </x:row>
    <x:row r="17">
      <x:c r="A17" s="12" t="str">
        <x:v>ETERNAL</x:v>
      </x:c>
      <x:c r="B17" s="26" t="n">
        <x:v>153</x:v>
      </x:c>
      <x:c r="C17" s="27" t="n">
        <x:v>1.435</x:v>
      </x:c>
      <x:c r="D17" s="28" t="str">
        <x:v>YES</x:v>
      </x:c>
      <x:c r="E17" s="29" t="n">
        <x:v>25745697.83</x:v>
      </x:c>
      <x:c r="F17" s="26" t="n">
        <x:v>6</x:v>
      </x:c>
      <x:c r="G17" s="26" t="n">
        <x:v>2425</x:v>
      </x:c>
      <x:c r="H17" s="30" t="n">
        <x:v>323.35</x:v>
      </x:c>
      <x:c r="I17" s="36" t="n">
        <x:f>G17*H17</x:f>
        <x:v>784123.75</x:v>
      </x:c>
      <x:c r="J17" s="36" t="n">
        <x:f>I17*C17/100</x:f>
        <x:v>11252.1758125</x:v>
      </x:c>
      <x:c r="K17" s="28" t="str">
        <x:v>PASS</x:v>
      </x:c>
      <x:c r="L17" s="26" t="n">
        <x:v>16</x:v>
      </x:c>
      <x:c r="M17" s="28" t="str">
        <x:v>NO</x:v>
      </x:c>
      <x:c r="N17" s="38" t="n">
        <x:v>175466</x:v>
      </x:c>
      <x:c r="O17" s="28" t="str">
        <x:v>2026-09-29</x:v>
      </x:c>
      <x:c r="P17" s="28" t="str">
        <x:v>NSE:ETERNAL26SEPFUT</x:v>
      </x:c>
      <x:c r="Q17" s="28" t="str">
        <x:v>LIVE_MASTER_CHECK_REQUIRED</x:v>
      </x:c>
      <x:c r="R17" s="28" t="str">
        <x:v>NOT IN LOWEST 8 ranking risk</x:v>
      </x:c>
      <x:c r="S17" s="28" t="str">
        <x:v>Zerodha Futures Margin Calculator</x:v>
      </x:c>
      <x:c r="T17" s="28" t="str">
        <x:v>https://zerodha.com/margin-calculator/Futures/</x:v>
      </x:c>
      <x:c r="U17" s="28" t="str"/>
    </x:row>
    <x:row r="18">
      <x:c r="A18" s="12" t="str">
        <x:v>ASHOKLEY</x:v>
      </x:c>
      <x:c r="B18" s="26" t="n">
        <x:v>261</x:v>
      </x:c>
      <x:c r="C18" s="27" t="n">
        <x:v>1.344</x:v>
      </x:c>
      <x:c r="D18" s="28" t="str">
        <x:v>YES</x:v>
      </x:c>
      <x:c r="E18" s="29" t="n">
        <x:v>27605652.17</x:v>
      </x:c>
      <x:c r="F18" s="26" t="n">
        <x:v>4</x:v>
      </x:c>
      <x:c r="G18" s="26" t="n">
        <x:v>5000</x:v>
      </x:c>
      <x:c r="H18" s="30" t="n">
        <x:v>169.68</x:v>
      </x:c>
      <x:c r="I18" s="36" t="n">
        <x:f>G18*H18</x:f>
        <x:v>848400</x:v>
      </x:c>
      <x:c r="J18" s="36" t="n">
        <x:f>I18*C18/100</x:f>
        <x:v>11402.496000000001</x:v>
      </x:c>
      <x:c r="K18" s="28" t="str">
        <x:v>PASS</x:v>
      </x:c>
      <x:c r="L18" s="26" t="n">
        <x:v>17</x:v>
      </x:c>
      <x:c r="M18" s="28" t="str">
        <x:v>NO</x:v>
      </x:c>
      <x:c r="N18" s="38" t="n">
        <x:v>190594</x:v>
      </x:c>
      <x:c r="O18" s="28" t="str">
        <x:v>2026-09-29</x:v>
      </x:c>
      <x:c r="P18" s="28" t="str">
        <x:v>NSE:ASHOKLEY26SEPFUT</x:v>
      </x:c>
      <x:c r="Q18" s="28" t="str">
        <x:v>LIVE_MASTER_CHECK_REQUIRED</x:v>
      </x:c>
      <x:c r="R18" s="28" t="str">
        <x:v>NOT IN LOWEST 8 ranking risk</x:v>
      </x:c>
      <x:c r="S18" s="28" t="str">
        <x:v>Zerodha Futures Margin Calculator</x:v>
      </x:c>
      <x:c r="T18" s="28" t="str">
        <x:v>https://zerodha.com/margin-calculator/Futures/</x:v>
      </x:c>
      <x:c r="U18" s="28" t="str"/>
    </x:row>
    <x:row r="19">
      <x:c r="A19" s="12" t="str">
        <x:v>ICICIBANK</x:v>
      </x:c>
      <x:c r="B19" s="26" t="n">
        <x:v>315</x:v>
      </x:c>
      <x:c r="C19" s="27" t="n">
        <x:v>1.181</x:v>
      </x:c>
      <x:c r="D19" s="28" t="str">
        <x:v>YES</x:v>
      </x:c>
      <x:c r="E19" s="29" t="n">
        <x:v>9586834.78</x:v>
      </x:c>
      <x:c r="F19" s="26" t="n">
        <x:v>23</x:v>
      </x:c>
      <x:c r="G19" s="26" t="n">
        <x:v>700</x:v>
      </x:c>
      <x:c r="H19" s="30" t="n">
        <x:v>1434.1</x:v>
      </x:c>
      <x:c r="I19" s="36" t="n">
        <x:f>G19*H19</x:f>
        <x:v>1003869.9999999999</x:v>
      </x:c>
      <x:c r="J19" s="36" t="n">
        <x:f>I19*C19/100</x:f>
        <x:v>11855.7047</x:v>
      </x:c>
      <x:c r="K19" s="28" t="str">
        <x:v>PASS</x:v>
      </x:c>
      <x:c r="L19" s="26" t="n">
        <x:v>18</x:v>
      </x:c>
      <x:c r="M19" s="28" t="str">
        <x:v>NO</x:v>
      </x:c>
      <x:c r="N19" s="38" t="n">
        <x:v>177480</x:v>
      </x:c>
      <x:c r="O19" s="28" t="str">
        <x:v>2026-09-29</x:v>
      </x:c>
      <x:c r="P19" s="28" t="str">
        <x:v>NSE:ICICIBANK26SEPFUT</x:v>
      </x:c>
      <x:c r="Q19" s="28" t="str">
        <x:v>LIVE_MASTER_CHECK_REQUIRED</x:v>
      </x:c>
      <x:c r="R19" s="28" t="str">
        <x:v>NOT IN LOWEST 8 ranking risk</x:v>
      </x:c>
      <x:c r="S19" s="28" t="str">
        <x:v>Zerodha Futures Margin Calculator</x:v>
      </x:c>
      <x:c r="T19" s="28" t="str">
        <x:v>https://zerodha.com/margin-calculator/Futures/</x:v>
      </x:c>
      <x:c r="U19" s="28" t="str"/>
    </x:row>
    <x:row r="20">
      <x:c r="A20" s="12" t="str">
        <x:v>UNIONBANK</x:v>
      </x:c>
      <x:c r="B20" s="26" t="n">
        <x:v>208</x:v>
      </x:c>
      <x:c r="C20" s="27" t="n">
        <x:v>1.47</x:v>
      </x:c>
      <x:c r="D20" s="28" t="str">
        <x:v>YES</x:v>
      </x:c>
      <x:c r="E20" s="29" t="n">
        <x:v>15126381.52</x:v>
      </x:c>
      <x:c r="F20" s="26" t="n">
        <x:v>12</x:v>
      </x:c>
      <x:c r="G20" s="26" t="n">
        <x:v>4425</x:v>
      </x:c>
      <x:c r="H20" s="30" t="n">
        <x:v>188.79</x:v>
      </x:c>
      <x:c r="I20" s="36" t="n">
        <x:f>G20*H20</x:f>
        <x:v>835395.75</x:v>
      </x:c>
      <x:c r="J20" s="36" t="n">
        <x:f>I20*C20/100</x:f>
        <x:v>12280.317524999999</x:v>
      </x:c>
      <x:c r="K20" s="28" t="str">
        <x:v>PASS</x:v>
      </x:c>
      <x:c r="L20" s="26" t="n">
        <x:v>19</x:v>
      </x:c>
      <x:c r="M20" s="28" t="str">
        <x:v>NO</x:v>
      </x:c>
      <x:c r="N20" s="38" t="n">
        <x:v>180972</x:v>
      </x:c>
      <x:c r="O20" s="28" t="str">
        <x:v>2026-09-29</x:v>
      </x:c>
      <x:c r="P20" s="28" t="str">
        <x:v>NSE:UNIONBANK26SEPFUT</x:v>
      </x:c>
      <x:c r="Q20" s="28" t="str">
        <x:v>LIVE_MASTER_CHECK_REQUIRED</x:v>
      </x:c>
      <x:c r="R20" s="28" t="str">
        <x:v>NOT IN LOWEST 8 ranking risk</x:v>
      </x:c>
      <x:c r="S20" s="28" t="str">
        <x:v>Zerodha Futures Margin Calculator</x:v>
      </x:c>
      <x:c r="T20" s="28" t="str">
        <x:v>https://zerodha.com/margin-calculator/Futures/</x:v>
      </x:c>
      <x:c r="U20" s="28" t="str"/>
    </x:row>
    <x:row r="21">
      <x:c r="A21" s="12" t="str">
        <x:v>CANBK</x:v>
      </x:c>
      <x:c r="B21" s="26" t="n">
        <x:v>261</x:v>
      </x:c>
      <x:c r="C21" s="27" t="n">
        <x:v>1.468</x:v>
      </x:c>
      <x:c r="D21" s="28" t="str">
        <x:v>YES</x:v>
      </x:c>
      <x:c r="E21" s="29" t="n">
        <x:v>33494086.96</x:v>
      </x:c>
      <x:c r="F21" s="26" t="n">
        <x:v>1</x:v>
      </x:c>
      <x:c r="G21" s="26" t="n">
        <x:v>6750</x:v>
      </x:c>
      <x:c r="H21" s="30" t="n">
        <x:v>126.89</x:v>
      </x:c>
      <x:c r="I21" s="36" t="n">
        <x:f>G21*H21</x:f>
        <x:v>856507.5</x:v>
      </x:c>
      <x:c r="J21" s="36" t="n">
        <x:f>I21*C21/100</x:f>
        <x:v>12573.5301</x:v>
      </x:c>
      <x:c r="K21" s="28" t="str">
        <x:v>PASS</x:v>
      </x:c>
      <x:c r="L21" s="26" t="n">
        <x:v>20</x:v>
      </x:c>
      <x:c r="M21" s="28" t="str">
        <x:v>NO</x:v>
      </x:c>
      <x:c r="N21" s="38" t="n">
        <x:v>296288</x:v>
      </x:c>
      <x:c r="O21" s="28" t="str">
        <x:v>2026-09-29</x:v>
      </x:c>
      <x:c r="P21" s="28" t="str">
        <x:v>NSE:CANBK26SEPFUT</x:v>
      </x:c>
      <x:c r="Q21" s="28" t="str">
        <x:v>LIVE_MASTER_CHECK_REQUIRED</x:v>
      </x:c>
      <x:c r="R21" s="28" t="str">
        <x:v>NOT IN LOWEST 8 ranking risk</x:v>
      </x:c>
      <x:c r="S21" s="28" t="str">
        <x:v>Zerodha Futures Margin Calculator</x:v>
      </x:c>
      <x:c r="T21" s="28" t="str">
        <x:v>https://zerodha.com/margin-calculator/Futures/</x:v>
      </x:c>
      <x:c r="U21" s="28" t="str"/>
    </x:row>
    <x:row r="22">
      <x:c r="A22" s="12" t="str">
        <x:v>KALYANKJIL</x:v>
      </x:c>
      <x:c r="B22" s="26" t="n">
        <x:v>180</x:v>
      </x:c>
      <x:c r="C22" s="27" t="n">
        <x:v>1.615</x:v>
      </x:c>
      <x:c r="D22" s="28" t="str">
        <x:v>YES</x:v>
      </x:c>
      <x:c r="E22" s="29" t="n">
        <x:v>9152647.83</x:v>
      </x:c>
      <x:c r="F22" s="26" t="n">
        <x:v>24</x:v>
      </x:c>
      <x:c r="G22" s="26" t="n">
        <x:v>1350</x:v>
      </x:c>
      <x:c r="H22" s="30" t="n">
        <x:v>599.2</x:v>
      </x:c>
      <x:c r="I22" s="36" t="n">
        <x:f>G22*H22</x:f>
        <x:v>808920.0000000001</x:v>
      </x:c>
      <x:c r="J22" s="36" t="n">
        <x:f>I22*C22/100</x:f>
        <x:v>13064.058000000003</x:v>
      </x:c>
      <x:c r="K22" s="28" t="str">
        <x:v>PASS</x:v>
      </x:c>
      <x:c r="L22" s="26" t="n">
        <x:v>21</x:v>
      </x:c>
      <x:c r="M22" s="28" t="str">
        <x:v>NO</x:v>
      </x:c>
      <x:c r="N22" s="38" t="n">
        <x:v>239033</x:v>
      </x:c>
      <x:c r="O22" s="28" t="str">
        <x:v>2026-09-29</x:v>
      </x:c>
      <x:c r="P22" s="28" t="str">
        <x:v>NSE:KALYANKJIL26SEPFUT</x:v>
      </x:c>
      <x:c r="Q22" s="28" t="str">
        <x:v>LIVE_MASTER_CHECK_REQUIRED</x:v>
      </x:c>
      <x:c r="R22" s="28" t="str">
        <x:v>NOT IN LOWEST 8 ranking risk</x:v>
      </x:c>
      <x:c r="S22" s="28" t="str">
        <x:v>Zerodha Futures Margin Calculator</x:v>
      </x:c>
      <x:c r="T22" s="28" t="str">
        <x:v>https://zerodha.com/margin-calculator/Futures/</x:v>
      </x:c>
      <x:c r="U22" s="28" t="str"/>
    </x:row>
    <x:row r="23">
      <x:c r="A23" s="12" t="str">
        <x:v>PNB</x:v>
      </x:c>
      <x:c r="B23" s="26" t="n">
        <x:v>282</x:v>
      </x:c>
      <x:c r="C23" s="27" t="n">
        <x:v>1.462</x:v>
      </x:c>
      <x:c r="D23" s="28" t="str">
        <x:v>YES</x:v>
      </x:c>
      <x:c r="E23" s="29" t="n">
        <x:v>30309217.39</x:v>
      </x:c>
      <x:c r="F23" s="26" t="n">
        <x:v>3</x:v>
      </x:c>
      <x:c r="G23" s="26" t="n">
        <x:v>8000</x:v>
      </x:c>
      <x:c r="H23" s="30" t="n">
        <x:v>117.18</x:v>
      </x:c>
      <x:c r="I23" s="36" t="n">
        <x:f>G23*H23</x:f>
        <x:v>937440</x:v>
      </x:c>
      <x:c r="J23" s="36" t="n">
        <x:f>I23*C23/100</x:f>
        <x:v>13705.372800000001</x:v>
      </x:c>
      <x:c r="K23" s="28" t="str">
        <x:v>PASS</x:v>
      </x:c>
      <x:c r="L23" s="26" t="n">
        <x:v>22</x:v>
      </x:c>
      <x:c r="M23" s="28" t="str">
        <x:v>NO</x:v>
      </x:c>
      <x:c r="N23" s="38" t="n">
        <x:v>318306</x:v>
      </x:c>
      <x:c r="O23" s="28" t="str">
        <x:v>2026-09-29</x:v>
      </x:c>
      <x:c r="P23" s="28" t="str">
        <x:v>NSE:PNB26SEPFUT</x:v>
      </x:c>
      <x:c r="Q23" s="28" t="str">
        <x:v>LIVE_MASTER_CHECK_REQUIRED</x:v>
      </x:c>
      <x:c r="R23" s="28" t="str">
        <x:v>NOT IN LOWEST 8 ranking risk</x:v>
      </x:c>
      <x:c r="S23" s="28" t="str">
        <x:v>Zerodha Futures Margin Calculator</x:v>
      </x:c>
      <x:c r="T23" s="28" t="str">
        <x:v>https://zerodha.com/margin-calculator/Futures/</x:v>
      </x:c>
      <x:c r="U23" s="28" t="str"/>
    </x:row>
    <x:row r="24">
      <x:c r="A24" s="12" t="str">
        <x:v>MOTHERSON</x:v>
      </x:c>
      <x:c r="B24" s="26" t="n">
        <x:v>283</x:v>
      </x:c>
      <x:c r="C24" s="27" t="n">
        <x:v>1.398</x:v>
      </x:c>
      <x:c r="D24" s="28" t="str">
        <x:v>YES</x:v>
      </x:c>
      <x:c r="E24" s="29" t="n">
        <x:v>23885263.04</x:v>
      </x:c>
      <x:c r="F24" s="26" t="n">
        <x:v>8</x:v>
      </x:c>
      <x:c r="G24" s="26" t="n">
        <x:v>6150</x:v>
      </x:c>
      <x:c r="H24" s="30" t="n">
        <x:v>161.86</x:v>
      </x:c>
      <x:c r="I24" s="36" t="n">
        <x:f>G24*H24</x:f>
        <x:v>995439.0000000001</x:v>
      </x:c>
      <x:c r="J24" s="36" t="n">
        <x:f>I24*C24/100</x:f>
        <x:v>13916.23722</x:v>
      </x:c>
      <x:c r="K24" s="28" t="str">
        <x:v>PASS</x:v>
      </x:c>
      <x:c r="L24" s="26" t="n">
        <x:v>23</x:v>
      </x:c>
      <x:c r="M24" s="28" t="str">
        <x:v>NO</x:v>
      </x:c>
      <x:c r="N24" s="38" t="n">
        <x:v>220385</x:v>
      </x:c>
      <x:c r="O24" s="28" t="str">
        <x:v>2026-09-29</x:v>
      </x:c>
      <x:c r="P24" s="28" t="str">
        <x:v>NSE:MOTHERSON26SEPFUT</x:v>
      </x:c>
      <x:c r="Q24" s="28" t="str">
        <x:v>LIVE_MASTER_CHECK_REQUIRED</x:v>
      </x:c>
      <x:c r="R24" s="28" t="str">
        <x:v>NOT IN LOWEST 8 ranking risk</x:v>
      </x:c>
      <x:c r="S24" s="28" t="str">
        <x:v>Zerodha Futures Margin Calculator</x:v>
      </x:c>
      <x:c r="T24" s="28" t="str">
        <x:v>https://zerodha.com/margin-calculator/Futures/</x:v>
      </x:c>
      <x:c r="U24" s="28" t="str"/>
    </x:row>
    <x:row r="25">
      <x:c r="A25" s="12" t="str">
        <x:v>NIFTY</x:v>
      </x:c>
      <x:c r="B25" s="26" t="n">
        <x:v>369</x:v>
      </x:c>
      <x:c r="C25" s="27" t="n">
        <x:v>1.086</x:v>
      </x:c>
      <x:c r="D25" s="28" t="str">
        <x:v>YES</x:v>
      </x:c>
      <x:c r="E25" s="29" t="n">
        <x:v>2681185</x:v>
      </x:c>
      <x:c r="F25" s="26" t="n">
        <x:v>26</x:v>
      </x:c>
      <x:c r="G25" s="26" t="n">
        <x:v>65</x:v>
      </x:c>
      <x:c r="H25" s="30" t="n">
        <x:v>24048.1</x:v>
      </x:c>
      <x:c r="I25" s="36" t="n">
        <x:f>G25*H25</x:f>
        <x:v>1563126.5</x:v>
      </x:c>
      <x:c r="J25" s="36" t="n">
        <x:f>I25*C25/100</x:f>
        <x:v>16975.55379</x:v>
      </x:c>
      <x:c r="K25" s="28" t="str">
        <x:v>PASS</x:v>
      </x:c>
      <x:c r="L25" s="26" t="n">
        <x:v>24</x:v>
      </x:c>
      <x:c r="M25" s="28" t="str">
        <x:v>NO</x:v>
      </x:c>
      <x:c r="N25" s="38" t="n">
        <x:v>176810</x:v>
      </x:c>
      <x:c r="O25" s="28" t="str">
        <x:v>2026-09-29</x:v>
      </x:c>
      <x:c r="P25" s="28" t="str">
        <x:v>NSE:NIFTY26SEPFUT</x:v>
      </x:c>
      <x:c r="Q25" s="28" t="str">
        <x:v>LIVE_MASTER_CHECK_REQUIRED</x:v>
      </x:c>
      <x:c r="R25" s="28" t="str">
        <x:v>NOT IN LOWEST 8 ranking risk</x:v>
      </x:c>
      <x:c r="S25" s="28" t="str">
        <x:v>Zerodha Futures Margin Calculator</x:v>
      </x:c>
      <x:c r="T25" s="28" t="str">
        <x:v>https://zerodha.com/margin-calculator/Futures/</x:v>
      </x:c>
      <x:c r="U25" s="28" t="str"/>
    </x:row>
    <x:row r="26">
      <x:c r="A26" s="12" t="str">
        <x:v>SAIL</x:v>
      </x:c>
      <x:c r="B26" s="26" t="n">
        <x:v>279</x:v>
      </x:c>
      <x:c r="C26" s="27" t="n">
        <x:v>1.818</x:v>
      </x:c>
      <x:c r="D26" s="28" t="str">
        <x:v>YES</x:v>
      </x:c>
      <x:c r="E26" s="29" t="n">
        <x:v>21763043.48</x:v>
      </x:c>
      <x:c r="F26" s="26" t="n">
        <x:v>10</x:v>
      </x:c>
      <x:c r="G26" s="26" t="n">
        <x:v>4700</x:v>
      </x:c>
      <x:c r="H26" s="30" t="n">
        <x:v>200.83</x:v>
      </x:c>
      <x:c r="I26" s="36" t="n">
        <x:f>G26*H26</x:f>
        <x:v>943901.0000000001</x:v>
      </x:c>
      <x:c r="J26" s="36" t="n">
        <x:f>I26*C26/100</x:f>
        <x:v>17160.12018</x:v>
      </x:c>
      <x:c r="K26" s="28" t="str">
        <x:v>PASS</x:v>
      </x:c>
      <x:c r="L26" s="26" t="n">
        <x:v>25</x:v>
      </x:c>
      <x:c r="M26" s="28" t="str">
        <x:v>NO</x:v>
      </x:c>
      <x:c r="N26" s="38" t="n">
        <x:v>357028</x:v>
      </x:c>
      <x:c r="O26" s="28" t="str">
        <x:v>2026-09-29</x:v>
      </x:c>
      <x:c r="P26" s="28" t="str">
        <x:v>NSE:SAIL26SEPFUT</x:v>
      </x:c>
      <x:c r="Q26" s="28" t="str">
        <x:v>LIVE_MASTER_CHECK_REQUIRED</x:v>
      </x:c>
      <x:c r="R26" s="28" t="str">
        <x:v>NOT IN LOWEST 8 ranking risk</x:v>
      </x:c>
      <x:c r="S26" s="28" t="str">
        <x:v>Zerodha Futures Margin Calculator</x:v>
      </x:c>
      <x:c r="T26" s="28" t="str">
        <x:v>https://zerodha.com/margin-calculator/Futures/</x:v>
      </x:c>
      <x:c r="U26" s="28" t="str"/>
    </x:row>
    <x:row r="27">
      <x:c r="A27" s="12" t="str">
        <x:v>BHEL</x:v>
      </x:c>
      <x:c r="B27" s="26" t="n">
        <x:v>343</x:v>
      </x:c>
      <x:c r="C27" s="27" t="n">
        <x:v>1.542</x:v>
      </x:c>
      <x:c r="D27" s="28" t="str">
        <x:v>YES</x:v>
      </x:c>
      <x:c r="E27" s="29" t="n">
        <x:v>12424353.26</x:v>
      </x:c>
      <x:c r="F27" s="26" t="n">
        <x:v>17</x:v>
      </x:c>
      <x:c r="G27" s="26" t="n">
        <x:v>2625</x:v>
      </x:c>
      <x:c r="H27" s="30" t="n">
        <x:v>435.7</x:v>
      </x:c>
      <x:c r="I27" s="36" t="n">
        <x:f>G27*H27</x:f>
        <x:v>1143712.5</x:v>
      </x:c>
      <x:c r="J27" s="36" t="n">
        <x:f>I27*C27/100</x:f>
        <x:v>17636.04675</x:v>
      </x:c>
      <x:c r="K27" s="28" t="str">
        <x:v>PASS</x:v>
      </x:c>
      <x:c r="L27" s="26" t="n">
        <x:v>26</x:v>
      </x:c>
      <x:c r="M27" s="28" t="str">
        <x:v>NO</x:v>
      </x:c>
      <x:c r="N27" s="38" t="n">
        <x:v>269402</x:v>
      </x:c>
      <x:c r="O27" s="28" t="str">
        <x:v>2026-09-29</x:v>
      </x:c>
      <x:c r="P27" s="28" t="str">
        <x:v>NSE:BHEL26SEPFUT</x:v>
      </x:c>
      <x:c r="Q27" s="28" t="str">
        <x:v>LIVE_MASTER_CHECK_REQUIRED</x:v>
      </x:c>
      <x:c r="R27" s="28" t="str">
        <x:v>NOT IN LOWEST 8 ranking risk</x:v>
      </x:c>
      <x:c r="S27" s="28" t="str">
        <x:v>Zerodha Futures Margin Calculator</x:v>
      </x:c>
      <x:c r="T27" s="28" t="str">
        <x:v>https://zerodha.com/margin-calculator/Futures/</x:v>
      </x:c>
      <x:c r="U27" s="28" t="str"/>
    </x:row>
    <x:row r="28">
      <x:c r="A28" s="12" t="str">
        <x:v>BANKNIFTY</x:v>
      </x:c>
      <x:c r="B28" s="26" t="n">
        <x:v>317</x:v>
      </x:c>
      <x:c r="C28" s="27" t="n">
        <x:v>1.156</x:v>
      </x:c>
      <x:c r="D28" s="28" t="str">
        <x:v>YES</x:v>
      </x:c>
      <x:c r="E28" s="29" t="n">
        <x:v>499721.74</x:v>
      </x:c>
      <x:c r="F28" s="26" t="n">
        <x:v>27</x:v>
      </x:c>
      <x:c r="G28" s="26" t="n">
        <x:v>30</x:v>
      </x:c>
      <x:c r="H28" s="30" t="n">
        <x:v>57774.8</x:v>
      </x:c>
      <x:c r="I28" s="36" t="n">
        <x:f>G28*H28</x:f>
        <x:v>1733244</x:v>
      </x:c>
      <x:c r="J28" s="36" t="n">
        <x:f>I28*C28/100</x:f>
        <x:v>20036.300639999998</x:v>
      </x:c>
      <x:c r="K28" s="28" t="str">
        <x:v>PASS</x:v>
      </x:c>
      <x:c r="L28" s="26" t="n">
        <x:v>27</x:v>
      </x:c>
      <x:c r="M28" s="28" t="str">
        <x:v>NO</x:v>
      </x:c>
      <x:c r="N28" s="38" t="n">
        <x:v>195930</x:v>
      </x:c>
      <x:c r="O28" s="28" t="str">
        <x:v>2026-09-29</x:v>
      </x:c>
      <x:c r="P28" s="28" t="str">
        <x:v>NSE:BANKNIFTY26SEPFUT</x:v>
      </x:c>
      <x:c r="Q28" s="28" t="str">
        <x:v>LIVE_MASTER_CHECK_REQUIRED</x:v>
      </x:c>
      <x:c r="R28" s="28" t="str">
        <x:v>NOT IN LOWEST 8 ranking risk</x:v>
      </x:c>
      <x:c r="S28" s="28" t="str">
        <x:v>Zerodha Futures Margin Calculator</x:v>
      </x:c>
      <x:c r="T28" s="28" t="str">
        <x:v>https://zerodha.com/margin-calculator/Futures/</x:v>
      </x:c>
      <x:c r="U28" s="28" t="str"/>
    </x:row>
    <x:row r="29">
      <x:c r="A29" s="12" t="str">
        <x:v>GMRAIRPORT</x:v>
      </x:c>
      <x:c r="B29" s="26" t="n">
        <x:v>134</x:v>
      </x:c>
      <x:c r="C29" s="27" t="n">
        <x:v>1.437</x:v>
      </x:c>
      <x:c r="D29" s="28" t="str">
        <x:v>NO</x:v>
      </x:c>
      <x:c r="E29" s="29"/>
      <x:c r="F29" s="26"/>
      <x:c r="G29" s="26" t="n">
        <x:v>6975</x:v>
      </x:c>
      <x:c r="H29" s="30" t="n">
        <x:v>97.55</x:v>
      </x:c>
      <x:c r="I29" s="36" t="n">
        <x:f>G29*H29</x:f>
        <x:v>680411.25</x:v>
      </x:c>
      <x:c r="J29" s="36" t="n">
        <x:f>I29*C29/100</x:f>
        <x:v>9777.5096625</x:v>
      </x:c>
      <x:c r="K29" s="28" t="str">
        <x:v>FAIL</x:v>
      </x:c>
      <x:c r="L29" s="26"/>
      <x:c r="M29" s="28" t="str">
        <x:v>NO</x:v>
      </x:c>
      <x:c r="N29" s="38"/>
      <x:c r="O29" s="28" t="str">
        <x:v>2026-09-29</x:v>
      </x:c>
      <x:c r="P29" s="28" t="str">
        <x:v>NSE:GMRAIRPORT26SEPFUT</x:v>
      </x:c>
      <x:c r="Q29" s="28" t="str">
        <x:v>LIVE_MASTER_CHECK_REQUIRED</x:v>
      </x:c>
      <x:c r="R29" s="28" t="str">
        <x:v>EXCLUDE: not present in supplied futures liquidity file</x:v>
      </x:c>
      <x:c r="S29" s="28" t="str">
        <x:v>INDmoney GMRAIRPORT Sep-2026 futures, 2026-09-04</x:v>
      </x:c>
      <x:c r="T29" s="28" t="str">
        <x:v>https://www.indmoney.com/futures/gmr-airports-ltd</x:v>
      </x:c>
      <x:c r="U29" s="28" t="str"/>
    </x:row>
    <x:row r="30">
      <x:c r="A30" s="12" t="str">
        <x:v>NBCC</x:v>
      </x:c>
      <x:c r="B30" s="26" t="n">
        <x:v>163</x:v>
      </x:c>
      <x:c r="C30" s="27" t="n">
        <x:v>1.708</x:v>
      </x:c>
      <x:c r="D30" s="28" t="str">
        <x:v>NO</x:v>
      </x:c>
      <x:c r="E30" s="29"/>
      <x:c r="F30" s="26"/>
      <x:c r="G30" s="26" t="n">
        <x:v>6500</x:v>
      </x:c>
      <x:c r="H30" s="30" t="n">
        <x:v>86.77</x:v>
      </x:c>
      <x:c r="I30" s="36" t="n">
        <x:f>G30*H30</x:f>
        <x:v>564005</x:v>
      </x:c>
      <x:c r="J30" s="36" t="n">
        <x:f>I30*C30/100</x:f>
        <x:v>9633.205399999999</x:v>
      </x:c>
      <x:c r="K30" s="28" t="str">
        <x:v>FAIL</x:v>
      </x:c>
      <x:c r="L30" s="26"/>
      <x:c r="M30" s="28" t="str">
        <x:v>NO</x:v>
      </x:c>
      <x:c r="N30" s="38"/>
      <x:c r="O30" s="28" t="str">
        <x:v>2026-09-29</x:v>
      </x:c>
      <x:c r="P30" s="28" t="str">
        <x:v>NSE:NBCC26SEPFUT</x:v>
      </x:c>
      <x:c r="Q30" s="28" t="str">
        <x:v>LIVE_MASTER_CHECK_REQUIRED</x:v>
      </x:c>
      <x:c r="R30" s="28" t="str">
        <x:v>EXCLUDE: not present in supplied futures liquidity file</x:v>
      </x:c>
      <x:c r="S30" s="28" t="str">
        <x:v>INDmoney NBCC Sep-2026 futures, 2026-09-04</x:v>
      </x:c>
      <x:c r="T30" s="28" t="str">
        <x:v>https://www.indmoney.com/futures/nbcc-india-ltd</x:v>
      </x:c>
      <x:c r="U30" s="28" t="str"/>
    </x:row>
  </x:sheetData>
  <x:conditionalFormatting sqref="M2:M30">
    <x:cfRule type="expression" dxfId="0" priority="1">
      <x:formula>M2="YES"</x:formula>
    </x:cfRule>
  </x:conditionalFormatting>
  <x:conditionalFormatting sqref="K2:K30">
    <x:cfRule type="expression" dxfId="1" priority="2">
      <x:formula>K2="FAIL"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6" customHeight="1">
      <x:c r="A1" s="4" t="str">
        <x:v>FUTURES VALIDATED-SELECTION REPORT</x:v>
      </x:c>
      <x:c r="B1" s="4" t="str"/>
    </x:row>
    <x:row r="2">
      <x:c r="A2" s="12" t="str">
        <x:v>Purpose</x:v>
      </x:c>
      <x:c r="B2" s="12" t="str">
        <x:v>Rank the 29 validated futures symbols using symbol-level median_stop_pct only for §4 selection.</x:v>
      </x:c>
    </x:row>
    <x:row r="3">
      <x:c r="A3" s="12" t="str">
        <x:v>Ranking formula</x:v>
      </x:c>
      <x:c r="B3" s="12" t="str">
        <x:v>per_lot_risk = reference futures price × 1-lot quantity × median_stop_pct / 100</x:v>
      </x:c>
    </x:row>
    <x:row r="4">
      <x:c r="A4" s="12" t="str">
        <x:v>Actual live trade risk</x:v>
      </x:c>
      <x:c r="B4" s="12" t="str">
        <x:v>DO NOT use median_stop_pct. §3 live risk is |actual entry - actual stop| × lot_size for that specific trade.</x:v>
      </x:c>
    </x:row>
    <x:row r="5">
      <x:c r="A5" s="12" t="str">
        <x:v>Liquidity floor used</x:v>
      </x:c>
      <x:c r="B5" s="12" t="str">
        <x:v>Membership in the supplied future_liquidity.csv universe. No new numeric OI/ADV threshold was invented because none was supplied.</x:v>
      </x:c>
    </x:row>
    <x:row r="6">
      <x:c r="A6" s="12" t="str">
        <x:v>Selection rule</x:v>
      </x:c>
      <x:c r="B6" s="12" t="str">
        <x:v>Among liquidity-floor PASS names, select the lowest 8 per_lot_risk values.</x:v>
      </x:c>
    </x:row>
    <x:row r="7">
      <x:c r="A7" s="12" t="str">
        <x:v>Selected 8</x:v>
      </x:c>
      <x:c r="B7" s="12" t="str">
        <x:v>ITC, HDFCBANK, INFY, NTPC, TATASTEEL, ONGC, WIPRO, BEL</x:v>
      </x:c>
    </x:row>
    <x:row r="8">
      <x:c r="A8" s="12" t="str">
        <x:v>Fyers</x:v>
      </x:c>
      <x:c r="B8" s="12" t="str">
        <x:v>Expected Sep-2026 symbol strings are provided, but FYERS live Symbol Master must still resolve them before futures go-live.</x:v>
      </x:c>
    </x:row>
    <x:row r="9">
      <x:c r="A9" s="12" t="str">
        <x:v>FYERS Symbol Master info</x:v>
      </x:c>
      <x:c r="B9" s="12" t="str">
        <x:v>https://support.fyers.in/portal/en/kb/articles/where-can-i-find-the-most-up-to-date-symbols-for-different-exchanges</x:v>
      </x:c>
    </x:row>
    <x:row r="10">
      <x:c r="A10" s="12" t="str">
        <x:v>FYERS NSE FO master</x:v>
      </x:c>
      <x:c r="B10" s="12" t="str">
        <x:v>https://public.fyers.in/sym_details/NSE_FO.csv</x:v>
      </x:c>
    </x:row>
    <x:row r="11">
      <x:c r="A11" s="12" t="str">
        <x:v>Important</x:v>
      </x:c>
      <x:c r="B11" s="12" t="str">
        <x:v>This ranking is for symbol selection only. The ₹14k single-trade and ₹18k open-risk gates must use the actual signal entry/stop at fire time.</x:v>
      </x:c>
    </x:row>
  </x:sheetData>
  <x:pageMargins left="0.7" right="0.7" top="0.75" bottom="0.75" header="0.3" footer="0.3"/>
</x:worksheet>
</file>